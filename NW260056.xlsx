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 activeTab="1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<sst xmlns="http://schemas.openxmlformats.org/spreadsheetml/2006/main" count="60" uniqueCount="46">
  <si>
    <t>PACKING LIST</t>
  </si>
  <si>
    <t>NAWAS Общество с ограниченной ответственностью совместное предприятие</t>
  </si>
  <si>
    <t>Республика Узбекистан, Андижанская область, Андижанский район, махалля Терактагии</t>
  </si>
  <si>
    <t>Получатель :Хушнудбек</t>
  </si>
  <si>
    <t>№ инвойса: NW260056</t>
  </si>
  <si>
    <t>Адрес: ____________________________</t>
  </si>
  <si>
    <t>Дата: 2026-2-12</t>
  </si>
  <si>
    <t>Телефон : ____________________________</t>
  </si>
  <si>
    <t>№ Контракта:NW260056</t>
  </si>
  <si>
    <t>Факс : ____________________________</t>
  </si>
  <si>
    <t>Отгрузка:</t>
  </si>
  <si>
    <t>Откуда: Узбекистан</t>
  </si>
  <si>
    <t xml:space="preserve">Куда : </t>
  </si>
  <si>
    <t>Упаковочная марка</t>
  </si>
  <si>
    <t>Наименование товара и спецификация</t>
  </si>
  <si>
    <t>Кол-во (шт.)</t>
  </si>
  <si>
    <t>Кол-во
 (комплекс)</t>
  </si>
  <si>
    <r>
      <rPr>
        <sz val="12"/>
        <rFont val="Times New Roman"/>
        <charset val="0"/>
      </rPr>
      <t xml:space="preserve">вес нетто
</t>
    </r>
    <r>
      <rPr>
        <sz val="12"/>
        <rFont val="宋体"/>
        <charset val="134"/>
      </rPr>
      <t>（</t>
    </r>
    <r>
      <rPr>
        <sz val="12"/>
        <rFont val="Times New Roman"/>
        <charset val="0"/>
      </rPr>
      <t>кг</t>
    </r>
    <r>
      <rPr>
        <sz val="12"/>
        <rFont val="宋体"/>
        <charset val="134"/>
      </rPr>
      <t>）</t>
    </r>
  </si>
  <si>
    <t>Вес брутто 
(кг)</t>
  </si>
  <si>
    <t>Всего
 куб.м</t>
  </si>
  <si>
    <t>MIRADO</t>
  </si>
  <si>
    <t>биметаллический радиатор   NWS-BK-500C&lt;10pcs&gt;</t>
  </si>
  <si>
    <t>Итог:</t>
  </si>
  <si>
    <t>Container number/Seal number:</t>
  </si>
  <si>
    <t>ПРОФОРМА-ИНВОЙС</t>
  </si>
  <si>
    <t>Адрес:</t>
  </si>
  <si>
    <t xml:space="preserve">Телефон : </t>
  </si>
  <si>
    <t>№ Контракта: NW260056</t>
  </si>
  <si>
    <t xml:space="preserve">Отгрузка: ____________________________
                             </t>
  </si>
  <si>
    <t>Откуда / From: Узбекистан</t>
  </si>
  <si>
    <t>Кол-во
 (ком.та)</t>
  </si>
  <si>
    <t>Цена за единицу (долл. США) EXW</t>
  </si>
  <si>
    <t>Оплата</t>
  </si>
  <si>
    <t>30% предоплата, 70% оплата перед доставкой.</t>
  </si>
  <si>
    <t>Упаковка</t>
  </si>
  <si>
    <t>По дизайну заказчика</t>
  </si>
  <si>
    <t>срок поставки</t>
  </si>
  <si>
    <t>Бенефициар.</t>
  </si>
  <si>
    <t xml:space="preserve"> NAWAS ООО С.П.</t>
  </si>
  <si>
    <t>Адрес получателя: Андижанская область, Булакбашинский район, Юксалиш МФЙ, Навқирон кучаси, 22-уй.</t>
  </si>
  <si>
    <t>Информация о банке.</t>
  </si>
  <si>
    <t>SWIFT BIC: UZHOUZ22</t>
  </si>
  <si>
    <t>ACCOUNT: 20208840005708942001</t>
  </si>
  <si>
    <t xml:space="preserve">Банк получателя: АКИБ «Ипотека-Банк» филиал Истиклал.
</t>
  </si>
  <si>
    <t>Адрес банка: Республика Узбекистан, Андижанский вилаят, г. Андижан, ул. Истиклал 22</t>
  </si>
  <si>
    <t xml:space="preserve">Продавец_________ 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</si>
</sst>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  <numFmt numFmtId="180" formatCode="0.00_ "/>
    <numFmt numFmtId="181" formatCode="\ \ @"/>
    <numFmt numFmtId="182" formatCode="\$#\ ##0.00;\-\$#\ ##0.00"/>
    <numFmt numFmtId="183" formatCode="dd\.mm\.yyyy"/>
    <numFmt numFmtId="184" formatCode="0_ "/>
  </numFmts>
  <fonts count="38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color theme="1"/>
      <name val="Times New Roman"/>
      <charset val="0"/>
    </font>
    <font>
      <b/>
      <sz val="22"/>
      <name val="Times New Roman"/>
      <charset val="0"/>
    </font>
    <font>
      <sz val="11"/>
      <name val="Times New Roman"/>
      <charset val="0"/>
    </font>
    <font>
      <b/>
      <sz val="16"/>
      <name val="Times New Roman"/>
      <charset val="0"/>
    </font>
    <font>
      <sz val="16"/>
      <name val="Times New Roman"/>
      <charset val="0"/>
    </font>
    <font>
      <sz val="12"/>
      <name val="Times New Roman"/>
      <charset val="0"/>
    </font>
    <font>
      <sz val="12"/>
      <name val="宋体"/>
      <charset val="134"/>
    </font>
    <font>
      <sz val="12"/>
      <name val="Times New Roman"/>
      <charset val="0"/>
    </font>
    <font>
      <b/>
      <i/>
      <sz val="14"/>
      <name val="Times New Roman"/>
      <charset val="0"/>
    </font>
    <font>
      <sz val="14"/>
      <name val="Times New Roman"/>
      <charset val="0"/>
    </font>
    <font>
      <b/>
      <sz val="12"/>
      <name val="Times New Roman"/>
      <charset val="0"/>
    </font>
    <font>
      <sz val="14"/>
      <color theme="1"/>
      <name val="Times New Roman"/>
      <charset val="0"/>
    </font>
    <font>
      <b/>
      <sz val="18"/>
      <color theme="1"/>
      <name val="Times New Roman"/>
      <charset val="0"/>
    </font>
    <font>
      <b/>
      <sz val="14"/>
      <color theme="1"/>
      <name val="Times New Roman"/>
      <charset val="0"/>
    </font>
    <font>
      <sz val="14"/>
      <name val="Times New Roman"/>
      <charset val="0"/>
    </font>
    <font>
      <b/>
      <i/>
      <sz val="14"/>
      <color theme="1"/>
      <name val="Times New Roman"/>
      <charset val="0"/>
    </font>
    <font>
      <b/>
      <sz val="14"/>
      <color theme="1"/>
      <name val="Times New Roman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0" fillId="2" borderId="12" applyNumberFormat="0" applyFon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3" borderId="15" applyNumberFormat="0" applyAlignment="0" applyProtection="0">
      <alignment vertical="center"/>
    </xf>
    <xf numFmtId="0" fontId="28" fillId="4" borderId="16" applyNumberFormat="0" applyAlignment="0" applyProtection="0">
      <alignment vertical="center"/>
    </xf>
    <xf numFmtId="0" fontId="29" fillId="4" borderId="15" applyNumberFormat="0" applyAlignment="0" applyProtection="0">
      <alignment vertical="center"/>
    </xf>
    <xf numFmtId="0" fontId="30" fillId="5" borderId="17" applyNumberFormat="0" applyAlignment="0" applyProtection="0">
      <alignment vertical="center"/>
    </xf>
    <xf numFmtId="0" fontId="31" fillId="0" borderId="18" applyNumberFormat="0" applyFill="0" applyAlignment="0" applyProtection="0">
      <alignment vertical="center"/>
    </xf>
    <xf numFmtId="0" fontId="32" fillId="0" borderId="19" applyNumberFormat="0" applyFill="0" applyAlignment="0" applyProtection="0">
      <alignment vertical="center"/>
    </xf>
    <xf numFmtId="0" fontId="33" fillId="6" borderId="0" applyNumberFormat="0" applyBorder="0" applyAlignment="0" applyProtection="0">
      <alignment vertical="center"/>
    </xf>
    <xf numFmtId="0" fontId="34" fillId="7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/>
    <xf numFmtId="0" fontId="5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/>
    </xf>
    <xf numFmtId="0" fontId="7" fillId="0" borderId="0" xfId="0" applyFont="1" applyFill="1" applyBorder="1" applyAlignment="1">
      <alignment horizontal="left"/>
    </xf>
    <xf numFmtId="0" fontId="8" fillId="0" borderId="0" xfId="0" applyFont="1" applyFill="1" applyBorder="1" applyAlignment="1">
      <alignment horizontal="left"/>
    </xf>
    <xf numFmtId="0" fontId="7" fillId="0" borderId="0" xfId="0" applyFont="1" applyFill="1" applyBorder="1" applyAlignment="1">
      <alignment horizontal="left" wrapText="1"/>
    </xf>
    <xf numFmtId="0" fontId="7" fillId="0" borderId="0" xfId="0" applyFont="1" applyFill="1" applyBorder="1" applyAlignment="1"/>
    <xf numFmtId="180" fontId="7" fillId="0" borderId="0" xfId="0" applyNumberFormat="1" applyFont="1" applyFill="1" applyBorder="1" applyAlignment="1">
      <alignment horizontal="left"/>
    </xf>
    <xf numFmtId="0" fontId="7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 wrapText="1"/>
    </xf>
    <xf numFmtId="181" fontId="9" fillId="0" borderId="2" xfId="0" applyNumberFormat="1" applyFont="1" applyFill="1" applyBorder="1" applyAlignment="1">
      <alignment horizontal="left" vertical="center" wrapText="1" indent="1"/>
    </xf>
    <xf numFmtId="0" fontId="9" fillId="0" borderId="3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/>
    </xf>
    <xf numFmtId="182" fontId="2" fillId="0" borderId="1" xfId="0" applyNumberFormat="1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right" vertical="center"/>
    </xf>
    <xf numFmtId="0" fontId="11" fillId="0" borderId="1" xfId="0" applyFont="1" applyFill="1" applyBorder="1" applyAlignment="1">
      <alignment horizontal="center" vertical="center"/>
    </xf>
    <xf numFmtId="182" fontId="11" fillId="0" borderId="1" xfId="0" applyNumberFormat="1" applyFont="1" applyFill="1" applyBorder="1" applyAlignment="1">
      <alignment horizontal="right" vertical="center"/>
    </xf>
    <xf numFmtId="0" fontId="7" fillId="0" borderId="0" xfId="0" applyFont="1" applyFill="1" applyBorder="1" applyAlignment="1">
      <alignment horizontal="left" vertical="center" wrapText="1"/>
    </xf>
    <xf numFmtId="0" fontId="12" fillId="0" borderId="0" xfId="0" applyFont="1" applyFill="1" applyBorder="1" applyAlignment="1"/>
    <xf numFmtId="183" fontId="7" fillId="0" borderId="0" xfId="0" applyNumberFormat="1" applyFont="1" applyFill="1" applyBorder="1" applyAlignment="1">
      <alignment horizontal="left"/>
    </xf>
    <xf numFmtId="0" fontId="7" fillId="0" borderId="0" xfId="0" applyFont="1" applyFill="1" applyBorder="1" applyAlignment="1">
      <alignment horizontal="center"/>
    </xf>
    <xf numFmtId="0" fontId="7" fillId="0" borderId="4" xfId="0" applyFont="1" applyFill="1" applyBorder="1" applyAlignment="1">
      <alignment horizontal="left" vertical="center"/>
    </xf>
    <xf numFmtId="0" fontId="7" fillId="0" borderId="5" xfId="0" applyFont="1" applyFill="1" applyBorder="1" applyAlignment="1">
      <alignment horizontal="left" vertical="center" wrapText="1"/>
    </xf>
    <xf numFmtId="0" fontId="7" fillId="0" borderId="5" xfId="0" applyFont="1" applyFill="1" applyBorder="1" applyAlignment="1">
      <alignment horizontal="left" vertical="center"/>
    </xf>
    <xf numFmtId="0" fontId="7" fillId="0" borderId="6" xfId="0" applyFont="1" applyFill="1" applyBorder="1" applyAlignment="1">
      <alignment horizontal="left" vertical="center"/>
    </xf>
    <xf numFmtId="0" fontId="7" fillId="0" borderId="7" xfId="0" applyFont="1" applyFill="1" applyBorder="1" applyAlignment="1">
      <alignment horizontal="left" vertical="center"/>
    </xf>
    <xf numFmtId="0" fontId="7" fillId="0" borderId="8" xfId="0" applyFont="1" applyFill="1" applyBorder="1" applyAlignment="1">
      <alignment horizontal="left" vertical="center" wrapText="1"/>
    </xf>
    <xf numFmtId="0" fontId="7" fillId="0" borderId="0" xfId="0" applyFont="1" applyFill="1" applyBorder="1" applyAlignment="1">
      <alignment horizontal="left" vertical="center"/>
    </xf>
    <xf numFmtId="0" fontId="7" fillId="0" borderId="8" xfId="0" applyFont="1" applyFill="1" applyBorder="1" applyAlignment="1">
      <alignment horizontal="left" vertical="center"/>
    </xf>
    <xf numFmtId="0" fontId="7" fillId="0" borderId="9" xfId="0" applyFont="1" applyFill="1" applyBorder="1" applyAlignment="1">
      <alignment horizontal="left" vertical="center"/>
    </xf>
    <xf numFmtId="0" fontId="7" fillId="0" borderId="10" xfId="0" applyFont="1" applyFill="1" applyBorder="1" applyAlignment="1">
      <alignment horizontal="left" vertical="center"/>
    </xf>
    <xf numFmtId="0" fontId="7" fillId="0" borderId="11" xfId="0" applyFont="1" applyFill="1" applyBorder="1" applyAlignment="1">
      <alignment horizontal="left" vertical="center"/>
    </xf>
    <xf numFmtId="0" fontId="13" fillId="0" borderId="0" xfId="0" applyFont="1" applyFill="1" applyBorder="1" applyAlignment="1">
      <alignment horizontal="center"/>
    </xf>
    <xf numFmtId="0" fontId="14" fillId="0" borderId="0" xfId="0" applyFont="1" applyFill="1" applyAlignment="1">
      <alignment horizontal="center" vertical="center"/>
    </xf>
    <xf numFmtId="0" fontId="15" fillId="0" borderId="0" xfId="0" applyFont="1" applyFill="1" applyBorder="1" applyAlignment="1">
      <alignment horizontal="center"/>
    </xf>
    <xf numFmtId="180" fontId="15" fillId="0" borderId="0" xfId="0" applyNumberFormat="1" applyFont="1" applyFill="1" applyBorder="1" applyAlignment="1">
      <alignment horizontal="center"/>
    </xf>
    <xf numFmtId="180" fontId="13" fillId="0" borderId="0" xfId="0" applyNumberFormat="1" applyFont="1" applyFill="1" applyBorder="1" applyAlignment="1">
      <alignment horizontal="center"/>
    </xf>
    <xf numFmtId="0" fontId="13" fillId="0" borderId="0" xfId="0" applyFont="1" applyFill="1" applyBorder="1" applyAlignment="1">
      <alignment horizontal="left"/>
    </xf>
    <xf numFmtId="0" fontId="13" fillId="0" borderId="0" xfId="0" applyFont="1" applyFill="1" applyBorder="1" applyAlignment="1">
      <alignment horizontal="left" wrapText="1"/>
    </xf>
    <xf numFmtId="180" fontId="13" fillId="0" borderId="0" xfId="0" applyNumberFormat="1" applyFont="1" applyFill="1" applyBorder="1" applyAlignment="1">
      <alignment horizontal="left"/>
    </xf>
    <xf numFmtId="0" fontId="0" fillId="0" borderId="0" xfId="0" applyFill="1" applyAlignment="1">
      <alignment vertical="center"/>
    </xf>
    <xf numFmtId="0" fontId="16" fillId="0" borderId="1" xfId="0" applyFont="1" applyFill="1" applyBorder="1" applyAlignment="1">
      <alignment horizontal="center" vertical="center" wrapText="1"/>
    </xf>
    <xf numFmtId="181" fontId="16" fillId="0" borderId="2" xfId="0" applyNumberFormat="1" applyFont="1" applyFill="1" applyBorder="1" applyAlignment="1">
      <alignment horizontal="center" vertical="center" wrapText="1"/>
    </xf>
    <xf numFmtId="0" fontId="16" fillId="0" borderId="1" xfId="0" applyFont="1" applyFill="1" applyBorder="1" applyAlignment="1">
      <alignment horizontal="center" vertical="center"/>
    </xf>
    <xf numFmtId="180" fontId="16" fillId="0" borderId="1" xfId="0" applyNumberFormat="1" applyFont="1" applyFill="1" applyBorder="1" applyAlignment="1">
      <alignment horizontal="center" vertical="center" wrapText="1"/>
    </xf>
    <xf numFmtId="180" fontId="13" fillId="0" borderId="1" xfId="0" applyNumberFormat="1" applyFont="1" applyFill="1" applyBorder="1" applyAlignment="1">
      <alignment horizontal="center" vertical="center"/>
    </xf>
    <xf numFmtId="0" fontId="17" fillId="0" borderId="1" xfId="0" applyFont="1" applyFill="1" applyBorder="1" applyAlignment="1">
      <alignment horizontal="right"/>
    </xf>
    <xf numFmtId="0" fontId="17" fillId="0" borderId="1" xfId="0" applyFont="1" applyFill="1" applyBorder="1" applyAlignment="1">
      <alignment horizontal="center"/>
    </xf>
    <xf numFmtId="0" fontId="18" fillId="0" borderId="1" xfId="0" applyFont="1" applyFill="1" applyBorder="1" applyAlignment="1">
      <alignment horizontal="center"/>
    </xf>
    <xf numFmtId="180" fontId="18" fillId="0" borderId="1" xfId="0" applyNumberFormat="1" applyFont="1" applyFill="1" applyBorder="1" applyAlignment="1">
      <alignment horizontal="center"/>
    </xf>
    <xf numFmtId="0" fontId="16" fillId="0" borderId="0" xfId="0" applyFont="1" applyFill="1" applyBorder="1" applyAlignment="1">
      <alignment horizontal="left" vertical="center"/>
    </xf>
    <xf numFmtId="0" fontId="16" fillId="0" borderId="0" xfId="0" applyFont="1" applyFill="1" applyBorder="1" applyAlignment="1">
      <alignment horizontal="center" vertical="center"/>
    </xf>
    <xf numFmtId="184" fontId="16" fillId="0" borderId="0" xfId="0" applyNumberFormat="1" applyFont="1" applyFill="1" applyBorder="1" applyAlignment="1">
      <alignment horizontal="left" vertical="center"/>
    </xf>
    <xf numFmtId="180" fontId="16" fillId="0" borderId="0" xfId="0" applyNumberFormat="1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1"/>
  <sheetViews>
    <sheetView topLeftCell="A6" workbookViewId="0">
      <selection activeCell="G19" sqref="G19"/>
    </sheetView>
  </sheetViews>
  <sheetFormatPr defaultColWidth="8.88888888888889" defaultRowHeight="14.4" outlineLevelCol="6"/>
  <cols>
    <col min="1" max="1" width="19.4444444444444" customWidth="1"/>
    <col min="2" max="2" width="60.8888888888889" customWidth="1"/>
    <col min="3" max="3" width="9" customWidth="1"/>
    <col min="4" max="4" width="14.1111111111111" customWidth="1"/>
    <col min="5" max="6" width="11.1111111111111"/>
  </cols>
  <sheetData>
    <row r="1" spans="1:7">
      <c r="A1" s="38" t="s">
        <v>0</v>
      </c>
      <c r="B1" s="38"/>
      <c r="C1" s="38"/>
      <c r="D1" s="38"/>
      <c r="E1" s="38"/>
      <c r="F1" s="38"/>
      <c r="G1" s="38"/>
    </row>
    <row r="2" ht="19" customHeight="1" spans="1:7">
      <c r="A2" s="38"/>
      <c r="B2" s="38"/>
      <c r="C2" s="38"/>
      <c r="D2" s="38"/>
      <c r="E2" s="38"/>
      <c r="F2" s="38"/>
      <c r="G2" s="38"/>
    </row>
    <row r="3" ht="17.4" spans="1:7">
      <c r="A3" s="39" t="s">
        <v>1</v>
      </c>
      <c r="B3" s="39"/>
      <c r="C3" s="39"/>
      <c r="D3" s="39"/>
      <c r="E3" s="40"/>
      <c r="F3" s="40"/>
      <c r="G3" s="39"/>
    </row>
    <row r="4" ht="18" spans="1:7">
      <c r="A4" s="37" t="s">
        <v>2</v>
      </c>
      <c r="B4" s="37"/>
      <c r="C4" s="37"/>
      <c r="D4" s="37"/>
      <c r="E4" s="41"/>
      <c r="F4" s="41"/>
      <c r="G4" s="37"/>
    </row>
    <row r="5" ht="18" spans="1:7">
      <c r="A5" s="37"/>
      <c r="B5" s="37"/>
      <c r="C5" s="37"/>
      <c r="D5" s="37"/>
      <c r="E5" s="37"/>
      <c r="F5" s="37"/>
      <c r="G5" s="37"/>
    </row>
    <row r="6" ht="18" spans="1:7">
      <c r="A6" s="37"/>
      <c r="B6" s="37"/>
      <c r="C6" s="37"/>
      <c r="D6" s="37"/>
      <c r="E6" s="41"/>
      <c r="F6" s="41"/>
      <c r="G6" s="37"/>
    </row>
    <row r="7" ht="18" spans="1:7">
      <c r="A7" s="42" t="s">
        <v>3</v>
      </c>
      <c r="B7" s="37"/>
      <c r="C7" s="42"/>
      <c r="D7" s="42" t="s">
        <v>4</v>
      </c>
      <c r="E7" s="42"/>
      <c r="F7" s="42"/>
      <c r="G7" s="42"/>
    </row>
    <row r="8" ht="18" spans="1:7">
      <c r="A8" s="42" t="s">
        <v>5</v>
      </c>
      <c r="B8" s="37"/>
      <c r="C8" s="42"/>
      <c r="D8" s="42" t="s">
        <v>6</v>
      </c>
      <c r="E8" s="42"/>
      <c r="F8" s="42"/>
      <c r="G8" s="42"/>
    </row>
    <row r="9" ht="18" spans="1:7">
      <c r="A9" s="42" t="s">
        <v>7</v>
      </c>
      <c r="B9" s="37"/>
      <c r="C9" s="42"/>
      <c r="D9" s="42" t="s">
        <v>8</v>
      </c>
      <c r="E9" s="42"/>
      <c r="F9" s="42"/>
      <c r="G9" s="42"/>
    </row>
    <row r="10" ht="18" spans="1:7">
      <c r="A10" s="42" t="s">
        <v>9</v>
      </c>
      <c r="B10" s="37"/>
      <c r="C10" s="42"/>
      <c r="D10" s="43" t="s">
        <v>10</v>
      </c>
      <c r="E10" s="42"/>
      <c r="F10" s="42"/>
      <c r="G10" s="42"/>
    </row>
    <row r="11" ht="18" spans="1:7">
      <c r="A11" s="42"/>
      <c r="B11" s="37"/>
      <c r="C11" s="42"/>
      <c r="D11" s="42"/>
      <c r="E11" s="42"/>
      <c r="F11" s="44"/>
      <c r="G11" s="42"/>
    </row>
    <row r="12" ht="18" spans="1:7">
      <c r="A12" s="42"/>
      <c r="B12" s="37"/>
      <c r="C12" s="42"/>
      <c r="D12" s="42"/>
      <c r="E12" s="42"/>
      <c r="F12" s="44"/>
      <c r="G12" s="42"/>
    </row>
    <row r="13" ht="18" spans="1:7">
      <c r="A13" s="42" t="s">
        <v>11</v>
      </c>
      <c r="B13" s="37"/>
      <c r="C13" s="42"/>
      <c r="D13" s="42" t="s">
        <v>12</v>
      </c>
      <c r="E13" s="42"/>
      <c r="F13" s="42"/>
      <c r="G13" s="42"/>
    </row>
    <row r="14" spans="1:7">
      <c r="A14" s="45"/>
      <c r="B14" s="45"/>
      <c r="C14" s="45"/>
      <c r="D14" s="45"/>
      <c r="E14" s="45"/>
      <c r="F14" s="45"/>
      <c r="G14" s="45"/>
    </row>
    <row r="15" spans="1:7">
      <c r="A15" s="45"/>
      <c r="B15" s="45"/>
      <c r="C15" s="45"/>
      <c r="D15" s="45"/>
      <c r="E15" s="45"/>
      <c r="F15" s="45"/>
      <c r="G15" s="45"/>
    </row>
    <row r="16" spans="1:7">
      <c r="A16" s="45"/>
      <c r="B16" s="45"/>
      <c r="C16" s="45"/>
      <c r="D16" s="45"/>
      <c r="E16" s="45"/>
      <c r="F16" s="45"/>
      <c r="G16" s="45"/>
    </row>
    <row r="18" s="37" customFormat="1" ht="46" customHeight="1" spans="1:7">
      <c r="A18" s="14" t="s">
        <v>13</v>
      </c>
      <c r="B18" s="14" t="s">
        <v>14</v>
      </c>
      <c r="C18" s="14" t="s">
        <v>15</v>
      </c>
      <c r="D18" s="14" t="s">
        <v>16</v>
      </c>
      <c r="E18" s="14" t="s">
        <v>17</v>
      </c>
      <c r="F18" s="14" t="s">
        <v>18</v>
      </c>
      <c r="G18" s="14" t="s">
        <v>19</v>
      </c>
    </row>
    <row r="19" s="37" customFormat="1" ht="46" customHeight="1" spans="1:7">
      <c r="A19" s="46" t="s">
        <v>20</v>
      </c>
      <c r="B19" s="47" t="s">
        <v>21</v>
      </c>
      <c r="C19" s="48">
        <f>D19*10</f>
        <v>2330</v>
      </c>
      <c r="D19" s="48">
        <v>233</v>
      </c>
      <c r="E19" s="49">
        <f>C19*1.6</f>
        <v>3728</v>
      </c>
      <c r="F19" s="49">
        <f>C19*1.7</f>
        <v>3961</v>
      </c>
      <c r="G19" s="50">
        <f>+D19*57*10*8/100000</f>
        <v>10.6248</v>
      </c>
    </row>
    <row r="20" s="37" customFormat="1" ht="35" customHeight="1" spans="1:7">
      <c r="A20" s="51" t="s">
        <v>22</v>
      </c>
      <c r="B20" s="52"/>
      <c r="C20" s="53">
        <f>SUM(C19:C19)</f>
        <v>2330</v>
      </c>
      <c r="D20" s="53">
        <f>SUM(D19:D19)</f>
        <v>233</v>
      </c>
      <c r="E20" s="54">
        <f>SUM(E19:E19)</f>
        <v>3728</v>
      </c>
      <c r="F20" s="54">
        <f>SUM(F19:F19)</f>
        <v>3961</v>
      </c>
      <c r="G20" s="54">
        <f>SUM(G19:G19)</f>
        <v>10.6248</v>
      </c>
    </row>
    <row r="21" s="37" customFormat="1" ht="24" customHeight="1" spans="1:7">
      <c r="A21" s="55" t="s">
        <v>23</v>
      </c>
      <c r="B21" s="56"/>
      <c r="C21" s="55"/>
      <c r="D21" s="57"/>
      <c r="E21" s="58"/>
      <c r="F21" s="58"/>
    </row>
  </sheetData>
  <mergeCells count="11">
    <mergeCell ref="A3:G3"/>
    <mergeCell ref="A4:G4"/>
    <mergeCell ref="D5:F5"/>
    <mergeCell ref="D7:G7"/>
    <mergeCell ref="D8:G8"/>
    <mergeCell ref="D9:G9"/>
    <mergeCell ref="D10:G10"/>
    <mergeCell ref="D13:G13"/>
    <mergeCell ref="A20:B20"/>
    <mergeCell ref="A21:F21"/>
    <mergeCell ref="A1:G2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4"/>
  <sheetViews>
    <sheetView tabSelected="1" zoomScale="85" zoomScaleNormal="85" workbookViewId="0">
      <selection activeCell="I18" sqref="I18"/>
    </sheetView>
  </sheetViews>
  <sheetFormatPr defaultColWidth="8.88888888888889" defaultRowHeight="14.4" outlineLevelCol="5"/>
  <cols>
    <col min="1" max="1" width="18.7777777777778" customWidth="1"/>
    <col min="2" max="2" width="56.6666666666667" customWidth="1"/>
    <col min="3" max="3" width="14.8981481481481" customWidth="1"/>
    <col min="4" max="4" width="10.5833333333333" customWidth="1"/>
    <col min="5" max="5" width="16.9907407407407" customWidth="1"/>
    <col min="6" max="6" width="15.9444444444444" customWidth="1"/>
  </cols>
  <sheetData>
    <row r="1" ht="41" customHeight="1" spans="1:6">
      <c r="A1" s="3" t="s">
        <v>24</v>
      </c>
      <c r="B1" s="3"/>
      <c r="C1" s="3"/>
      <c r="D1" s="3"/>
      <c r="E1" s="3"/>
      <c r="F1" s="3"/>
    </row>
    <row r="2" ht="5" customHeight="1" spans="1:6">
      <c r="A2" s="4"/>
      <c r="B2" s="4"/>
      <c r="C2" s="4"/>
      <c r="D2" s="4"/>
      <c r="E2" s="4"/>
      <c r="F2" s="4"/>
    </row>
    <row r="3" ht="20.4" spans="1:6">
      <c r="A3" s="5" t="s">
        <v>1</v>
      </c>
      <c r="B3" s="5"/>
      <c r="C3" s="5"/>
      <c r="D3" s="5"/>
      <c r="E3" s="5"/>
      <c r="F3" s="5"/>
    </row>
    <row r="4" ht="21" spans="1:6">
      <c r="A4" s="6" t="s">
        <v>2</v>
      </c>
      <c r="B4" s="6"/>
      <c r="C4" s="6"/>
      <c r="D4" s="6"/>
      <c r="E4" s="6"/>
      <c r="F4" s="6"/>
    </row>
    <row r="5" spans="1:6">
      <c r="A5" s="4"/>
      <c r="B5" s="4"/>
      <c r="C5" s="4"/>
      <c r="D5" s="4"/>
      <c r="E5" s="4"/>
      <c r="F5" s="4"/>
    </row>
    <row r="6" spans="1:6">
      <c r="A6" s="4"/>
      <c r="B6" s="4"/>
      <c r="C6" s="4"/>
      <c r="D6" s="4"/>
      <c r="E6" s="4"/>
      <c r="F6" s="4"/>
    </row>
    <row r="7" ht="15.6" spans="1:6">
      <c r="A7" s="7" t="s">
        <v>3</v>
      </c>
      <c r="B7" s="8"/>
      <c r="C7" s="7"/>
      <c r="D7" s="7" t="s">
        <v>4</v>
      </c>
      <c r="E7" s="7"/>
      <c r="F7" s="7"/>
    </row>
    <row r="8" ht="15.6" spans="1:6">
      <c r="A8" s="9" t="s">
        <v>25</v>
      </c>
      <c r="B8" s="9"/>
      <c r="C8" s="9"/>
      <c r="D8" s="7" t="s">
        <v>6</v>
      </c>
      <c r="E8" s="7"/>
      <c r="F8" s="7"/>
    </row>
    <row r="9" ht="15.6" spans="1:6">
      <c r="A9" s="7" t="s">
        <v>26</v>
      </c>
      <c r="B9" s="7"/>
      <c r="C9" s="7"/>
      <c r="D9" s="7" t="s">
        <v>27</v>
      </c>
      <c r="E9" s="7"/>
      <c r="F9" s="7"/>
    </row>
    <row r="10" ht="15.6" spans="1:6">
      <c r="A10" s="7" t="s">
        <v>9</v>
      </c>
      <c r="B10" s="7"/>
      <c r="C10" s="7"/>
      <c r="D10" s="9" t="s">
        <v>28</v>
      </c>
      <c r="E10" s="7"/>
      <c r="F10" s="7"/>
    </row>
    <row r="11" ht="15.6" spans="1:6">
      <c r="A11" s="10"/>
      <c r="B11" s="10"/>
      <c r="C11" s="10"/>
      <c r="D11" s="7"/>
      <c r="E11" s="7"/>
      <c r="F11" s="11"/>
    </row>
    <row r="12" ht="15.6" spans="1:6">
      <c r="A12" s="10"/>
      <c r="B12" s="10"/>
      <c r="C12" s="10"/>
      <c r="D12" s="7"/>
      <c r="E12" s="7"/>
      <c r="F12" s="11"/>
    </row>
    <row r="13" ht="15.6" spans="1:6">
      <c r="A13" s="10" t="s">
        <v>29</v>
      </c>
      <c r="B13" s="10"/>
      <c r="C13" s="10"/>
      <c r="D13" s="7" t="s">
        <v>12</v>
      </c>
      <c r="E13" s="7"/>
      <c r="F13" s="7"/>
    </row>
    <row r="14" ht="15.6" spans="1:6">
      <c r="A14" s="10"/>
      <c r="B14" s="10"/>
      <c r="C14" s="10"/>
      <c r="D14" s="10"/>
      <c r="E14" s="10"/>
      <c r="F14" s="10"/>
    </row>
    <row r="15" spans="1:6">
      <c r="A15" s="4"/>
      <c r="B15" s="4"/>
      <c r="C15" s="4"/>
      <c r="D15" s="4"/>
      <c r="E15" s="4"/>
      <c r="F15" s="4"/>
    </row>
    <row r="16" s="1" customFormat="1" ht="53" customHeight="1" spans="1:6">
      <c r="A16" s="12" t="s">
        <v>13</v>
      </c>
      <c r="B16" s="13" t="s">
        <v>14</v>
      </c>
      <c r="C16" s="12" t="s">
        <v>15</v>
      </c>
      <c r="D16" s="12" t="s">
        <v>30</v>
      </c>
      <c r="E16" s="12" t="s">
        <v>31</v>
      </c>
      <c r="F16" s="12" t="s">
        <v>31</v>
      </c>
    </row>
    <row r="17" s="2" customFormat="1" ht="53" customHeight="1" spans="1:6">
      <c r="A17" s="14" t="s">
        <v>20</v>
      </c>
      <c r="B17" s="15" t="s">
        <v>21</v>
      </c>
      <c r="C17" s="16">
        <f>+D17*10</f>
        <v>2330</v>
      </c>
      <c r="D17" s="17">
        <v>233</v>
      </c>
      <c r="E17" s="18">
        <v>5.75</v>
      </c>
      <c r="F17" s="18">
        <f>+E17*C17</f>
        <v>13397.5</v>
      </c>
    </row>
    <row r="18" ht="28" customHeight="1" spans="1:6">
      <c r="A18" s="19" t="s">
        <v>22</v>
      </c>
      <c r="B18" s="19"/>
      <c r="C18" s="20">
        <f>SUM(C17:C17)</f>
        <v>2330</v>
      </c>
      <c r="D18" s="20">
        <f>SUM(D17:D17)</f>
        <v>233</v>
      </c>
      <c r="E18" s="20"/>
      <c r="F18" s="21">
        <f>SUM(F17:F17)</f>
        <v>13397.5</v>
      </c>
    </row>
    <row r="19" spans="1:6">
      <c r="A19" s="4"/>
      <c r="B19" s="4"/>
      <c r="C19" s="4"/>
      <c r="D19" s="4"/>
      <c r="E19" s="4"/>
      <c r="F19" s="4"/>
    </row>
    <row r="20" spans="1:6">
      <c r="A20" s="4"/>
      <c r="B20" s="4"/>
      <c r="C20" s="4"/>
      <c r="D20" s="4"/>
      <c r="E20" s="4"/>
      <c r="F20" s="4"/>
    </row>
    <row r="21" ht="15.6" spans="1:6">
      <c r="A21" s="7" t="s">
        <v>32</v>
      </c>
      <c r="B21" s="22" t="s">
        <v>33</v>
      </c>
      <c r="C21" s="22"/>
      <c r="D21" s="22"/>
      <c r="E21" s="7"/>
      <c r="F21" s="7"/>
    </row>
    <row r="22" ht="15.6" spans="1:6">
      <c r="A22" s="7" t="s">
        <v>34</v>
      </c>
      <c r="B22" s="7" t="s">
        <v>35</v>
      </c>
      <c r="C22" s="7"/>
      <c r="D22" s="7"/>
      <c r="E22" s="7"/>
      <c r="F22" s="7"/>
    </row>
    <row r="23" ht="16.35" spans="1:6">
      <c r="A23" s="23" t="s">
        <v>36</v>
      </c>
      <c r="B23" s="24"/>
      <c r="C23" s="25"/>
      <c r="D23" s="7"/>
      <c r="E23" s="7"/>
      <c r="F23" s="10"/>
    </row>
    <row r="24" ht="15.6" spans="1:6">
      <c r="A24" s="26" t="s">
        <v>37</v>
      </c>
      <c r="B24" s="27" t="s">
        <v>38</v>
      </c>
      <c r="C24" s="28"/>
      <c r="D24" s="28"/>
      <c r="E24" s="28"/>
      <c r="F24" s="29"/>
    </row>
    <row r="25" ht="15.6" spans="1:6">
      <c r="A25" s="30"/>
      <c r="B25" s="22" t="s">
        <v>39</v>
      </c>
      <c r="C25" s="22"/>
      <c r="D25" s="22"/>
      <c r="E25" s="22"/>
      <c r="F25" s="31"/>
    </row>
    <row r="26" ht="15.6" spans="1:6">
      <c r="A26" s="30"/>
      <c r="B26" s="22"/>
      <c r="C26" s="22"/>
      <c r="D26" s="22"/>
      <c r="E26" s="22"/>
      <c r="F26" s="31"/>
    </row>
    <row r="27" ht="15.6" spans="1:6">
      <c r="A27" s="30" t="s">
        <v>40</v>
      </c>
      <c r="B27" s="32" t="s">
        <v>41</v>
      </c>
      <c r="C27" s="32"/>
      <c r="D27" s="32"/>
      <c r="E27" s="32"/>
      <c r="F27" s="33"/>
    </row>
    <row r="28" ht="15.6" spans="1:6">
      <c r="A28" s="30"/>
      <c r="B28" s="32" t="s">
        <v>42</v>
      </c>
      <c r="C28" s="32"/>
      <c r="D28" s="32"/>
      <c r="E28" s="32"/>
      <c r="F28" s="33"/>
    </row>
    <row r="29" ht="15.6" spans="1:6">
      <c r="A29" s="30"/>
      <c r="B29" s="22" t="s">
        <v>43</v>
      </c>
      <c r="C29" s="22"/>
      <c r="D29" s="22"/>
      <c r="E29" s="22"/>
      <c r="F29" s="31"/>
    </row>
    <row r="30" ht="15.6" spans="1:6">
      <c r="A30" s="30"/>
      <c r="B30" s="32" t="s">
        <v>44</v>
      </c>
      <c r="C30" s="32"/>
      <c r="D30" s="32"/>
      <c r="E30" s="32"/>
      <c r="F30" s="33"/>
    </row>
    <row r="31" ht="15.6" spans="1:6">
      <c r="A31" s="30"/>
      <c r="B31" s="32"/>
      <c r="C31" s="32"/>
      <c r="D31" s="32"/>
      <c r="E31" s="32"/>
      <c r="F31" s="33"/>
    </row>
    <row r="32" ht="15.6" spans="1:6">
      <c r="A32" s="30"/>
      <c r="B32" s="32"/>
      <c r="C32" s="32"/>
      <c r="D32" s="32"/>
      <c r="E32" s="32"/>
      <c r="F32" s="33"/>
    </row>
    <row r="33" ht="15.6" spans="1:6">
      <c r="A33" s="30" t="s">
        <v>45</v>
      </c>
      <c r="B33" s="32"/>
      <c r="C33" s="32"/>
      <c r="D33" s="32"/>
      <c r="E33" s="32"/>
      <c r="F33" s="33"/>
    </row>
    <row r="34" ht="16.35" spans="1:6">
      <c r="A34" s="34"/>
      <c r="B34" s="35"/>
      <c r="C34" s="35"/>
      <c r="D34" s="35"/>
      <c r="E34" s="35"/>
      <c r="F34" s="36"/>
    </row>
  </sheetData>
  <mergeCells count="16">
    <mergeCell ref="A1:F1"/>
    <mergeCell ref="A3:F3"/>
    <mergeCell ref="A4:F4"/>
    <mergeCell ref="D7:F7"/>
    <mergeCell ref="A8:C8"/>
    <mergeCell ref="D8:F8"/>
    <mergeCell ref="D9:F9"/>
    <mergeCell ref="D10:F10"/>
    <mergeCell ref="D13:F13"/>
    <mergeCell ref="A18:B18"/>
    <mergeCell ref="B21:D21"/>
    <mergeCell ref="B22:E22"/>
    <mergeCell ref="B29:D29"/>
    <mergeCell ref="C33:F33"/>
    <mergeCell ref="B25:F26"/>
    <mergeCell ref="B30:F3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宁静</cp:lastModifiedBy>
  <dcterms:created xsi:type="dcterms:W3CDTF">2026-02-12T06:43:00Z</dcterms:created>
  <dcterms:modified xsi:type="dcterms:W3CDTF">2026-02-13T09:53:47Z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F5F83F5CEF32491B878032D302795747_11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